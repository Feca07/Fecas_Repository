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torres/Dropbox (Personal)/Mi Mac (MacBook-Pro.local)/Downloads/PrÃ ctica 2 material-20220320/"/>
    </mc:Choice>
  </mc:AlternateContent>
  <xr:revisionPtr revIDLastSave="0" documentId="13_ncr:1_{F590E9DC-C9C4-994E-97A3-54E5ADAD06DE}" xr6:coauthVersionLast="47" xr6:coauthVersionMax="47" xr10:uidLastSave="{00000000-0000-0000-0000-000000000000}"/>
  <bookViews>
    <workbookView xWindow="0" yWindow="500" windowWidth="35840" windowHeight="21900" xr2:uid="{9CEDAC1D-35A1-F346-AD93-409C1B2B7A30}"/>
  </bookViews>
  <sheets>
    <sheet name="Structure" sheetId="2" r:id="rId1"/>
  </sheets>
  <definedNames>
    <definedName name="_xlnm._FilterDatabase" localSheetId="0" hidden="1">Structure!$A$1:$D$30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17" i="2"/>
  <c r="D4" i="2"/>
  <c r="D13" i="2"/>
  <c r="D19" i="2"/>
  <c r="D5" i="2"/>
  <c r="D18" i="2"/>
  <c r="D6" i="2"/>
  <c r="D7" i="2"/>
  <c r="D8" i="2"/>
  <c r="D9" i="2"/>
  <c r="D14" i="2"/>
  <c r="D15" i="2"/>
  <c r="D16" i="2"/>
  <c r="D21" i="2"/>
  <c r="D22" i="2"/>
  <c r="D23" i="2"/>
  <c r="D24" i="2"/>
  <c r="D10" i="2"/>
  <c r="D12" i="2"/>
  <c r="D11" i="2"/>
  <c r="D3" i="2"/>
</calcChain>
</file>

<file path=xl/sharedStrings.xml><?xml version="1.0" encoding="utf-8"?>
<sst xmlns="http://schemas.openxmlformats.org/spreadsheetml/2006/main" count="50" uniqueCount="50">
  <si>
    <t/>
  </si>
  <si>
    <t>TmIsqCalTotAbd</t>
  </si>
  <si>
    <t>TmIsqCalFxAbd</t>
  </si>
  <si>
    <t>TmUCILtsv</t>
  </si>
  <si>
    <t>FIN_INDIC_Other</t>
  </si>
  <si>
    <t>FIN_INDIC_Cirr</t>
  </si>
  <si>
    <t>FIN_INDIC_HCC</t>
  </si>
  <si>
    <t>FIN_INDIC_reTx_fulmi</t>
  </si>
  <si>
    <t>LIQUIDOPRESERV_CELSIOR</t>
  </si>
  <si>
    <t>LIQUIDOPRESERV_HTK</t>
  </si>
  <si>
    <t>LIQUIDOPRESERV_UW_IGL1</t>
  </si>
  <si>
    <t>Cause_death_Other</t>
  </si>
  <si>
    <t>Cause_death_TBI</t>
  </si>
  <si>
    <t>Cause_death_Anoxia</t>
  </si>
  <si>
    <t>Cause_death_CVA</t>
  </si>
  <si>
    <t>Gender_Rec</t>
  </si>
  <si>
    <t>Gender_Don</t>
  </si>
  <si>
    <t>treat</t>
  </si>
  <si>
    <t>PatNo</t>
  </si>
  <si>
    <t>MELDSCORE</t>
  </si>
  <si>
    <t>EDAD_REC_TX</t>
  </si>
  <si>
    <t>TIEMPOISQUEMIAFR_A_RETH</t>
  </si>
  <si>
    <t>EDAD_DON</t>
  </si>
  <si>
    <t>Volume</t>
  </si>
  <si>
    <t>Number of Format Decimals</t>
  </si>
  <si>
    <t>Variable Label</t>
  </si>
  <si>
    <t>Variable Name</t>
  </si>
  <si>
    <t>Preservation solution: UW or IGL-1</t>
  </si>
  <si>
    <t>Preservation solution: HTK</t>
  </si>
  <si>
    <t>Preservation solution: Celsior</t>
  </si>
  <si>
    <t>Cause of death: CVA</t>
  </si>
  <si>
    <t>Cause of death: Anoxic brain injury</t>
  </si>
  <si>
    <t>Cause of death: Traumatic brain injury</t>
  </si>
  <si>
    <t>Cause of death: Others</t>
  </si>
  <si>
    <t>Transplant indication: Cirrhosis</t>
  </si>
  <si>
    <t>Transplant indication: Hepatocellular carcinoma</t>
  </si>
  <si>
    <t>Transplant indication: Retransplantation or fulminant liver failure</t>
  </si>
  <si>
    <t>Transplant indication: Other</t>
  </si>
  <si>
    <t>Functional WITc (min)</t>
  </si>
  <si>
    <t>Total WITb (min)</t>
  </si>
  <si>
    <t>ICU stay (days)</t>
  </si>
  <si>
    <t>Treat</t>
  </si>
  <si>
    <t>High-volume transplant centre</t>
  </si>
  <si>
    <t>Age (y) - Donor</t>
  </si>
  <si>
    <t xml:space="preserve">Gender - Donor </t>
  </si>
  <si>
    <t>CIT (min)</t>
  </si>
  <si>
    <t>Age (yr) - Recipient</t>
  </si>
  <si>
    <t>Gender - Recipient</t>
  </si>
  <si>
    <t>Laboratory MELD score</t>
  </si>
  <si>
    <t>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</si>
</sst>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2549-FDA9-F349-8A8B-C93B66B9B21F}">
  <dimension ref="A1:D30"/>
  <sheetViews>
    <sheetView tabSelected="1" zoomScale="164" workbookViewId="0">
      <pane ySplit="1" topLeftCell="A2" activePane="bottomLeft" state="frozen"/>
      <selection pane="bottomLeft" activeCell="A15" sqref="A15"/>
    </sheetView>
  </sheetViews>
  <sheetFormatPr baseColWidth="10" defaultRowHeight="16" x14ac:dyDescent="0.2"/>
  <cols>
    <col min="1" max="1" width="40" style="1" bestFit="1" customWidth="1"/>
    <col min="2" max="2" width="3.83203125" style="1" customWidth="1"/>
    <col min="3" max="3" width="58.5" style="1" customWidth="1"/>
    <col min="4" max="4" width="75.33203125" style="3" bestFit="1" customWidth="1"/>
    <col min="5" max="16384" width="10.83203125" style="1"/>
  </cols>
  <sheetData>
    <row r="1" spans="1:4" s="5" customFormat="1" ht="25" customHeight="1" x14ac:dyDescent="0.2">
      <c r="A1" s="4" t="s">
        <v>26</v>
      </c>
      <c r="B1" s="4" t="s">
        <v>49</v>
      </c>
      <c r="C1" s="4" t="s">
        <v>25</v>
      </c>
      <c r="D1" s="4" t="s">
        <v>24</v>
      </c>
    </row>
    <row r="2" spans="1:4" ht="16" customHeight="1" x14ac:dyDescent="0.2">
      <c r="A2" s="2" t="s">
        <v>18</v>
      </c>
      <c r="B2" s="2"/>
      <c r="C2" s="2" t="s">
        <v>0</v>
      </c>
      <c r="D2" s="2"/>
    </row>
    <row r="3" spans="1:4" ht="16" customHeight="1" x14ac:dyDescent="0.2">
      <c r="A3" s="2" t="s">
        <v>17</v>
      </c>
      <c r="B3" s="2">
        <v>0</v>
      </c>
      <c r="C3" s="2" t="s">
        <v>41</v>
      </c>
      <c r="D3" s="2" t="str">
        <f t="shared" ref="D3:D24" si="0">CONCATENATE("label ",A3,"='",C3,"';")</f>
        <v>label treat='Treat';</v>
      </c>
    </row>
    <row r="4" spans="1:4" ht="16" customHeight="1" x14ac:dyDescent="0.2">
      <c r="A4" s="2" t="s">
        <v>22</v>
      </c>
      <c r="B4" s="2">
        <v>1</v>
      </c>
      <c r="C4" s="2" t="s">
        <v>43</v>
      </c>
      <c r="D4" s="2" t="str">
        <f t="shared" si="0"/>
        <v>label EDAD_DON='Age (y) - Donor';</v>
      </c>
    </row>
    <row r="5" spans="1:4" ht="16" customHeight="1" x14ac:dyDescent="0.2">
      <c r="A5" s="2" t="s">
        <v>16</v>
      </c>
      <c r="B5" s="2">
        <v>0</v>
      </c>
      <c r="C5" s="2" t="s">
        <v>44</v>
      </c>
      <c r="D5" s="2" t="str">
        <f t="shared" si="0"/>
        <v>label Gender_Don='Gender - Donor ';</v>
      </c>
    </row>
    <row r="6" spans="1:4" ht="16" customHeight="1" x14ac:dyDescent="0.2">
      <c r="A6" s="2" t="s">
        <v>14</v>
      </c>
      <c r="B6" s="2">
        <v>0</v>
      </c>
      <c r="C6" s="2" t="s">
        <v>30</v>
      </c>
      <c r="D6" s="2" t="str">
        <f t="shared" si="0"/>
        <v>label Cause_death_CVA='Cause of death: CVA';</v>
      </c>
    </row>
    <row r="7" spans="1:4" ht="16" customHeight="1" x14ac:dyDescent="0.2">
      <c r="A7" s="2" t="s">
        <v>13</v>
      </c>
      <c r="B7" s="2">
        <v>0</v>
      </c>
      <c r="C7" s="2" t="s">
        <v>31</v>
      </c>
      <c r="D7" s="2" t="str">
        <f t="shared" si="0"/>
        <v>label Cause_death_Anoxia='Cause of death: Anoxic brain injury';</v>
      </c>
    </row>
    <row r="8" spans="1:4" ht="16" customHeight="1" x14ac:dyDescent="0.2">
      <c r="A8" s="2" t="s">
        <v>12</v>
      </c>
      <c r="B8" s="2">
        <v>0</v>
      </c>
      <c r="C8" s="2" t="s">
        <v>32</v>
      </c>
      <c r="D8" s="2" t="str">
        <f t="shared" si="0"/>
        <v>label Cause_death_TBI='Cause of death: Traumatic brain injury';</v>
      </c>
    </row>
    <row r="9" spans="1:4" ht="16" customHeight="1" x14ac:dyDescent="0.2">
      <c r="A9" s="2" t="s">
        <v>11</v>
      </c>
      <c r="B9" s="2">
        <v>0</v>
      </c>
      <c r="C9" s="2" t="s">
        <v>33</v>
      </c>
      <c r="D9" s="2" t="str">
        <f t="shared" si="0"/>
        <v>label Cause_death_Other='Cause of death: Others';</v>
      </c>
    </row>
    <row r="10" spans="1:4" ht="16" customHeight="1" x14ac:dyDescent="0.2">
      <c r="A10" s="2" t="s">
        <v>3</v>
      </c>
      <c r="B10" s="2">
        <v>1</v>
      </c>
      <c r="C10" s="2" t="s">
        <v>40</v>
      </c>
      <c r="D10" s="2" t="str">
        <f t="shared" si="0"/>
        <v>label TmUCILtsv='ICU stay (days)';</v>
      </c>
    </row>
    <row r="11" spans="1:4" ht="16" customHeight="1" x14ac:dyDescent="0.2">
      <c r="A11" s="2" t="s">
        <v>1</v>
      </c>
      <c r="B11" s="2">
        <v>1</v>
      </c>
      <c r="C11" s="2" t="s">
        <v>39</v>
      </c>
      <c r="D11" s="2" t="str">
        <f t="shared" si="0"/>
        <v>label TmIsqCalTotAbd='Total WITb (min)';</v>
      </c>
    </row>
    <row r="12" spans="1:4" ht="16" customHeight="1" x14ac:dyDescent="0.2">
      <c r="A12" s="2" t="s">
        <v>2</v>
      </c>
      <c r="B12" s="2">
        <v>1</v>
      </c>
      <c r="C12" s="2" t="s">
        <v>38</v>
      </c>
      <c r="D12" s="2" t="str">
        <f t="shared" si="0"/>
        <v>label TmIsqCalFxAbd='Functional WITc (min)';</v>
      </c>
    </row>
    <row r="13" spans="1:4" ht="16" customHeight="1" x14ac:dyDescent="0.2">
      <c r="A13" s="2" t="s">
        <v>21</v>
      </c>
      <c r="B13" s="2">
        <v>1</v>
      </c>
      <c r="C13" s="2" t="s">
        <v>45</v>
      </c>
      <c r="D13" s="2" t="str">
        <f t="shared" si="0"/>
        <v>label TIEMPOISQUEMIAFR_A_RETH='CIT (min)';</v>
      </c>
    </row>
    <row r="14" spans="1:4" ht="16" customHeight="1" x14ac:dyDescent="0.2">
      <c r="A14" s="2" t="s">
        <v>10</v>
      </c>
      <c r="B14" s="2">
        <v>0</v>
      </c>
      <c r="C14" s="2" t="s">
        <v>27</v>
      </c>
      <c r="D14" s="2" t="str">
        <f t="shared" si="0"/>
        <v>label LIQUIDOPRESERV_UW_IGL1='Preservation solution: UW or IGL-1';</v>
      </c>
    </row>
    <row r="15" spans="1:4" ht="16" customHeight="1" x14ac:dyDescent="0.2">
      <c r="A15" s="2" t="s">
        <v>9</v>
      </c>
      <c r="B15" s="2">
        <v>0</v>
      </c>
      <c r="C15" s="2" t="s">
        <v>28</v>
      </c>
      <c r="D15" s="2" t="str">
        <f t="shared" si="0"/>
        <v>label LIQUIDOPRESERV_HTK='Preservation solution: HTK';</v>
      </c>
    </row>
    <row r="16" spans="1:4" ht="16" customHeight="1" x14ac:dyDescent="0.2">
      <c r="A16" s="2" t="s">
        <v>8</v>
      </c>
      <c r="B16" s="2">
        <v>0</v>
      </c>
      <c r="C16" s="2" t="s">
        <v>29</v>
      </c>
      <c r="D16" s="2" t="str">
        <f t="shared" si="0"/>
        <v>label LIQUIDOPRESERV_CELSIOR='Preservation solution: Celsior';</v>
      </c>
    </row>
    <row r="17" spans="1:4" ht="16" customHeight="1" x14ac:dyDescent="0.2">
      <c r="A17" s="2" t="s">
        <v>20</v>
      </c>
      <c r="B17" s="2">
        <v>1</v>
      </c>
      <c r="C17" s="2" t="s">
        <v>46</v>
      </c>
      <c r="D17" s="2" t="str">
        <f t="shared" si="0"/>
        <v>label EDAD_REC_TX='Age (yr) - Recipient';</v>
      </c>
    </row>
    <row r="18" spans="1:4" ht="16" customHeight="1" x14ac:dyDescent="0.2">
      <c r="A18" s="2" t="s">
        <v>15</v>
      </c>
      <c r="B18" s="2">
        <v>0</v>
      </c>
      <c r="C18" s="2" t="s">
        <v>47</v>
      </c>
      <c r="D18" s="2" t="str">
        <f t="shared" si="0"/>
        <v>label Gender_Rec='Gender - Recipient';</v>
      </c>
    </row>
    <row r="19" spans="1:4" ht="16" customHeight="1" x14ac:dyDescent="0.2">
      <c r="A19" s="2" t="s">
        <v>19</v>
      </c>
      <c r="B19" s="2">
        <v>1</v>
      </c>
      <c r="C19" s="2" t="s">
        <v>48</v>
      </c>
      <c r="D19" s="2" t="str">
        <f t="shared" si="0"/>
        <v>label MELDSCORE='Laboratory MELD score';</v>
      </c>
    </row>
    <row r="20" spans="1:4" ht="16" customHeight="1" x14ac:dyDescent="0.2">
      <c r="A20" s="2" t="s">
        <v>23</v>
      </c>
      <c r="B20" s="2">
        <v>0</v>
      </c>
      <c r="C20" s="2" t="s">
        <v>42</v>
      </c>
      <c r="D20" s="2" t="str">
        <f t="shared" si="0"/>
        <v>label Volume='High-volume transplant centre';</v>
      </c>
    </row>
    <row r="21" spans="1:4" ht="16" customHeight="1" x14ac:dyDescent="0.2">
      <c r="A21" s="2" t="s">
        <v>7</v>
      </c>
      <c r="B21" s="2">
        <v>0</v>
      </c>
      <c r="C21" s="2" t="s">
        <v>36</v>
      </c>
      <c r="D21" s="2" t="str">
        <f t="shared" si="0"/>
        <v>label FIN_INDIC_reTx_fulmi='Transplant indication: Retransplantation or fulminant liver failure';</v>
      </c>
    </row>
    <row r="22" spans="1:4" ht="16" customHeight="1" x14ac:dyDescent="0.2">
      <c r="A22" s="2" t="s">
        <v>6</v>
      </c>
      <c r="B22" s="2">
        <v>0</v>
      </c>
      <c r="C22" s="2" t="s">
        <v>35</v>
      </c>
      <c r="D22" s="2" t="str">
        <f t="shared" si="0"/>
        <v>label FIN_INDIC_HCC='Transplant indication: Hepatocellular carcinoma';</v>
      </c>
    </row>
    <row r="23" spans="1:4" ht="16" customHeight="1" x14ac:dyDescent="0.2">
      <c r="A23" s="2" t="s">
        <v>5</v>
      </c>
      <c r="B23" s="2">
        <v>0</v>
      </c>
      <c r="C23" s="2" t="s">
        <v>34</v>
      </c>
      <c r="D23" s="2" t="str">
        <f t="shared" si="0"/>
        <v>label FIN_INDIC_Cirr='Transplant indication: Cirrhosis';</v>
      </c>
    </row>
    <row r="24" spans="1:4" ht="16" customHeight="1" x14ac:dyDescent="0.2">
      <c r="A24" s="2" t="s">
        <v>4</v>
      </c>
      <c r="B24" s="2">
        <v>0</v>
      </c>
      <c r="C24" s="2" t="s">
        <v>37</v>
      </c>
      <c r="D24" s="2" t="str">
        <f t="shared" si="0"/>
        <v>label FIN_INDIC_Other='Transplant indication: Other';</v>
      </c>
    </row>
    <row r="25" spans="1:4" ht="16" customHeight="1" x14ac:dyDescent="0.2">
      <c r="A25" s="2"/>
      <c r="B25" s="2"/>
      <c r="C25" s="2"/>
      <c r="D25" s="2"/>
    </row>
    <row r="26" spans="1:4" ht="16" customHeight="1" x14ac:dyDescent="0.2">
      <c r="A26" s="2"/>
      <c r="B26" s="2"/>
      <c r="C26" s="2"/>
      <c r="D26" s="2"/>
    </row>
    <row r="27" spans="1:4" ht="16" customHeight="1" x14ac:dyDescent="0.2">
      <c r="A27" s="2"/>
      <c r="B27" s="2"/>
      <c r="C27" s="2"/>
      <c r="D27" s="2"/>
    </row>
    <row r="28" spans="1:4" ht="16" customHeight="1" x14ac:dyDescent="0.2">
      <c r="A28" s="2"/>
      <c r="B28" s="2"/>
      <c r="C28" s="2"/>
      <c r="D28" s="2"/>
    </row>
    <row r="29" spans="1:4" ht="16" customHeight="1" x14ac:dyDescent="0.2">
      <c r="A29" s="2"/>
      <c r="B29" s="2"/>
      <c r="C29" s="2"/>
      <c r="D29" s="2"/>
    </row>
    <row r="30" spans="1:4" ht="16" customHeight="1" x14ac:dyDescent="0.2">
      <c r="A30" s="2"/>
      <c r="B30" s="2"/>
      <c r="C30" s="2"/>
      <c r="D30" s="2"/>
    </row>
  </sheetData>
  <autoFilter ref="A1:D30" xr:uid="{4AB92F39-5A3F-CC4C-9FDA-EB5099F14B40}"/>
  <pageMargins left="0.08" right="0.08" top="1" bottom="1" header="0.5" footer="0.5"/>
  <pageSetup paperSize="9" orientation="portrait" horizontalDpi="300" verticalDpi="300"/>
  <headerFooter>
    <oddFooter>Source: Y:\Dropbox (Personal)\Documents\_edu_\Grau\UAB. Estadistica. Modelitzacio Avançada\Material\Practiques\Practica 2\SAS\Analysis\Tables.sas (25APR21:13:13:34)                                                            _x000D_______________________________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Torres</dc:creator>
  <cp:lastModifiedBy>Ferran Torres</cp:lastModifiedBy>
  <dcterms:created xsi:type="dcterms:W3CDTF">2021-04-25T11:24:19Z</dcterms:created>
  <dcterms:modified xsi:type="dcterms:W3CDTF">2022-03-20T08:56:04Z</dcterms:modified>
</cp:coreProperties>
</file>