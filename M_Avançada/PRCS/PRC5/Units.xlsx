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torres/Dropbox (Personal)/Documents/_edu_/Grau/GEA. Modelitzacio Avançada/Material/Practiques/Practica 3/doc/"/>
    </mc:Choice>
  </mc:AlternateContent>
  <xr:revisionPtr revIDLastSave="0" documentId="13_ncr:1_{2664795E-ADB4-0A4D-95FD-C00B852571BB}" xr6:coauthVersionLast="47" xr6:coauthVersionMax="47" xr10:uidLastSave="{00000000-0000-0000-0000-000000000000}"/>
  <bookViews>
    <workbookView xWindow="0" yWindow="500" windowWidth="16000" windowHeight="11500" xr2:uid="{0B2B8D95-371D-8747-8850-65A7FEAB9989}"/>
  </bookViews>
  <sheets>
    <sheet name="Units" sheetId="3" r:id="rId1"/>
  </sheets>
  <definedNames>
    <definedName name="_xlnm._FilterDatabase" localSheetId="0" hidden="1">Units!#REF!</definedName>
    <definedName name="IDX" localSheetId="0">Units!#REF!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2" i="3" l="1"/>
  <c r="J22" i="3"/>
  <c r="I22" i="3"/>
  <c r="K21" i="3"/>
  <c r="J21" i="3"/>
  <c r="I21" i="3"/>
  <c r="G10" i="3"/>
  <c r="F10" i="3"/>
  <c r="E10" i="3"/>
  <c r="G9" i="3"/>
  <c r="F9" i="3"/>
  <c r="E9" i="3"/>
  <c r="G4" i="3"/>
  <c r="F4" i="3"/>
  <c r="E4" i="3"/>
  <c r="G3" i="3"/>
  <c r="F3" i="3"/>
  <c r="E3" i="3"/>
  <c r="G16" i="3"/>
  <c r="F16" i="3"/>
  <c r="G15" i="3"/>
  <c r="F15" i="3"/>
  <c r="E16" i="3"/>
  <c r="E15" i="3"/>
</calcChain>
</file>

<file path=xl/sharedStrings.xml><?xml version="1.0" encoding="utf-8"?>
<sst xmlns="http://schemas.openxmlformats.org/spreadsheetml/2006/main" count="38" uniqueCount="19">
  <si>
    <t>Standard Error</t>
  </si>
  <si>
    <t>MELD_Na</t>
  </si>
  <si>
    <t>Effect</t>
  </si>
  <si>
    <t>UL</t>
  </si>
  <si>
    <t>LL</t>
  </si>
  <si>
    <t>HR</t>
  </si>
  <si>
    <t>Parameter Estimate</t>
  </si>
  <si>
    <t>UNITS</t>
  </si>
  <si>
    <t>HR UNITS</t>
  </si>
  <si>
    <t>LL UNITS</t>
  </si>
  <si>
    <t>UL UNITS</t>
  </si>
  <si>
    <t>LFABP_Urine</t>
  </si>
  <si>
    <t>Units using Betas</t>
  </si>
  <si>
    <t>Units using HR</t>
  </si>
  <si>
    <t>HR per 1 unit change (from model)</t>
  </si>
  <si>
    <t>MELD_Na_10</t>
  </si>
  <si>
    <t>LFABP_Urine_10</t>
  </si>
  <si>
    <t>HR per 10 unit change (transforming data dviding by the unit-factor)</t>
  </si>
  <si>
    <t>Recommended: use the SD as the factor for comparing continuous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</si>
</sst>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9" fillId="0" borderId="0" xfId="0" applyFont="1" applyFill="1" applyBorder="1" applyAlignment="1"/>
    <xf numFmtId="0" fontId="19" fillId="0" borderId="0" xfId="0" applyFont="1" applyFill="1" applyBorder="1" applyAlignment="1">
      <alignment horizontal="center"/>
    </xf>
    <xf numFmtId="0" fontId="18" fillId="0" borderId="0" xfId="0" applyFont="1" applyFill="1" applyBorder="1" applyAlignment="1"/>
    <xf numFmtId="0" fontId="18" fillId="0" borderId="0" xfId="0" applyFont="1" applyFill="1" applyBorder="1" applyAlignment="1">
      <alignment horizontal="center"/>
    </xf>
    <xf numFmtId="164" fontId="18" fillId="0" borderId="0" xfId="0" applyNumberFormat="1" applyFont="1" applyFill="1" applyBorder="1" applyAlignment="1">
      <alignment horizontal="center"/>
    </xf>
    <xf numFmtId="0" fontId="19" fillId="34" borderId="0" xfId="0" applyFont="1" applyFill="1" applyBorder="1" applyAlignment="1"/>
    <xf numFmtId="164" fontId="19" fillId="34" borderId="0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top" wrapText="1"/>
    </xf>
    <xf numFmtId="164" fontId="19" fillId="35" borderId="0" xfId="0" applyNumberFormat="1" applyFont="1" applyFill="1" applyBorder="1" applyAlignment="1">
      <alignment horizontal="center" vertical="top" wrapText="1"/>
    </xf>
    <xf numFmtId="0" fontId="19" fillId="35" borderId="0" xfId="0" applyFont="1" applyFill="1" applyBorder="1" applyAlignment="1">
      <alignment vertical="top" wrapText="1"/>
    </xf>
    <xf numFmtId="0" fontId="19" fillId="35" borderId="0" xfId="0" applyFont="1" applyFill="1" applyBorder="1" applyAlignment="1">
      <alignment horizontal="center" vertical="top" wrapText="1"/>
    </xf>
    <xf numFmtId="0" fontId="18" fillId="37" borderId="0" xfId="0" applyFont="1" applyFill="1" applyBorder="1" applyAlignment="1"/>
    <xf numFmtId="1" fontId="18" fillId="37" borderId="0" xfId="0" applyNumberFormat="1" applyFont="1" applyFill="1" applyBorder="1" applyAlignment="1">
      <alignment horizontal="center"/>
    </xf>
    <xf numFmtId="0" fontId="19" fillId="35" borderId="0" xfId="0" applyFont="1" applyFill="1" applyBorder="1" applyAlignment="1">
      <alignment vertical="top"/>
    </xf>
    <xf numFmtId="164" fontId="19" fillId="35" borderId="0" xfId="0" applyNumberFormat="1" applyFont="1" applyFill="1" applyBorder="1" applyAlignment="1">
      <alignment horizontal="center" vertical="top"/>
    </xf>
    <xf numFmtId="0" fontId="18" fillId="0" borderId="0" xfId="0" applyFont="1" applyFill="1" applyBorder="1" applyAlignment="1">
      <alignment vertical="top"/>
    </xf>
    <xf numFmtId="0" fontId="19" fillId="34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vertical="top"/>
    </xf>
    <xf numFmtId="164" fontId="18" fillId="33" borderId="0" xfId="0" applyNumberFormat="1" applyFont="1" applyFill="1" applyBorder="1" applyAlignment="1">
      <alignment horizontal="center"/>
    </xf>
    <xf numFmtId="165" fontId="18" fillId="36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165" fontId="19" fillId="34" borderId="0" xfId="0" applyNumberFormat="1" applyFont="1" applyFill="1" applyBorder="1" applyAlignment="1">
      <alignment horizontal="center"/>
    </xf>
    <xf numFmtId="165" fontId="19" fillId="35" borderId="0" xfId="0" applyNumberFormat="1" applyFont="1" applyFill="1" applyBorder="1" applyAlignment="1">
      <alignment horizontal="center" vertical="top" wrapText="1"/>
    </xf>
    <xf numFmtId="165" fontId="19" fillId="35" borderId="0" xfId="0" applyNumberFormat="1" applyFont="1" applyFill="1" applyBorder="1" applyAlignment="1">
      <alignment horizontal="center" vertical="top"/>
    </xf>
    <xf numFmtId="165" fontId="18" fillId="33" borderId="0" xfId="0" applyNumberFormat="1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D14" zoomScale="162" workbookViewId="0">
      <selection activeCell="K17" sqref="K17"/>
    </sheetView>
  </sheetViews>
  <sheetFormatPr baseColWidth="10" defaultColWidth="16.1640625" defaultRowHeight="16" x14ac:dyDescent="0.2"/>
  <cols>
    <col min="1" max="1" width="17.33203125" style="3" customWidth="1"/>
    <col min="2" max="2" width="11.6640625" style="5" customWidth="1"/>
    <col min="3" max="3" width="7.33203125" style="5" customWidth="1"/>
    <col min="4" max="4" width="8.83203125" style="5" customWidth="1"/>
    <col min="5" max="7" width="7.33203125" style="5" customWidth="1"/>
    <col min="8" max="8" width="7.33203125" style="3" customWidth="1"/>
    <col min="9" max="11" width="7.33203125" style="4" customWidth="1"/>
    <col min="12" max="16384" width="16.1640625" style="3"/>
  </cols>
  <sheetData>
    <row r="1" spans="1:11" s="6" customFormat="1" x14ac:dyDescent="0.2">
      <c r="A1" s="6" t="s">
        <v>14</v>
      </c>
      <c r="B1" s="7"/>
      <c r="C1" s="7"/>
      <c r="D1" s="7"/>
      <c r="E1" s="7"/>
      <c r="F1" s="7"/>
      <c r="G1" s="7"/>
      <c r="I1" s="17"/>
      <c r="J1" s="17"/>
      <c r="K1" s="17"/>
    </row>
    <row r="2" spans="1:11" s="18" customFormat="1" ht="34" x14ac:dyDescent="0.2">
      <c r="A2" s="14"/>
      <c r="B2" s="9" t="s">
        <v>6</v>
      </c>
      <c r="C2" s="9" t="s">
        <v>0</v>
      </c>
      <c r="D2" s="15"/>
      <c r="E2" s="15" t="s">
        <v>5</v>
      </c>
      <c r="F2" s="15" t="s">
        <v>4</v>
      </c>
      <c r="G2" s="15" t="s">
        <v>3</v>
      </c>
      <c r="I2" s="8"/>
      <c r="J2" s="8"/>
      <c r="K2" s="8"/>
    </row>
    <row r="3" spans="1:11" x14ac:dyDescent="0.2">
      <c r="A3" s="3" t="s">
        <v>1</v>
      </c>
      <c r="B3" s="19">
        <v>0.1315412</v>
      </c>
      <c r="C3" s="19">
        <v>1.4140099999999999E-2</v>
      </c>
      <c r="E3" s="20">
        <f>EXP(B3)</f>
        <v>1.1405848988521801</v>
      </c>
      <c r="F3" s="20">
        <f>EXP(B3-1.96*(C3))</f>
        <v>1.1094080713148575</v>
      </c>
      <c r="G3" s="20">
        <f>EXP(B3+1.96*(C3))</f>
        <v>1.1726378643953674</v>
      </c>
    </row>
    <row r="4" spans="1:11" x14ac:dyDescent="0.2">
      <c r="A4" s="3" t="s">
        <v>11</v>
      </c>
      <c r="B4" s="19">
        <v>2.6059999999999998E-3</v>
      </c>
      <c r="C4" s="19">
        <v>7.4739999999999995E-4</v>
      </c>
      <c r="E4" s="20">
        <f>EXP(B4)</f>
        <v>1.002609398569583</v>
      </c>
      <c r="F4" s="20">
        <f>EXP(B4-1.96*(C4))</f>
        <v>1.0011417472977482</v>
      </c>
      <c r="G4" s="20">
        <f>EXP(B4+1.96*(C4))</f>
        <v>1.0040792013851541</v>
      </c>
    </row>
    <row r="5" spans="1:11" x14ac:dyDescent="0.2">
      <c r="E5" s="21"/>
      <c r="F5" s="21"/>
      <c r="G5" s="21"/>
    </row>
    <row r="6" spans="1:11" x14ac:dyDescent="0.2">
      <c r="E6" s="21"/>
      <c r="F6" s="21"/>
      <c r="G6" s="21"/>
    </row>
    <row r="7" spans="1:11" s="6" customFormat="1" x14ac:dyDescent="0.2">
      <c r="A7" s="6" t="s">
        <v>17</v>
      </c>
      <c r="B7" s="7"/>
      <c r="C7" s="7"/>
      <c r="D7" s="7"/>
      <c r="E7" s="22"/>
      <c r="F7" s="22"/>
      <c r="G7" s="22"/>
      <c r="I7" s="17"/>
      <c r="J7" s="17"/>
      <c r="K7" s="17"/>
    </row>
    <row r="8" spans="1:11" s="1" customFormat="1" ht="34" x14ac:dyDescent="0.2">
      <c r="A8" s="10" t="s">
        <v>2</v>
      </c>
      <c r="B8" s="9" t="s">
        <v>6</v>
      </c>
      <c r="C8" s="9" t="s">
        <v>0</v>
      </c>
      <c r="D8" s="9"/>
      <c r="E8" s="23" t="s">
        <v>8</v>
      </c>
      <c r="F8" s="23" t="s">
        <v>9</v>
      </c>
      <c r="G8" s="23" t="s">
        <v>10</v>
      </c>
      <c r="I8" s="2"/>
      <c r="J8" s="2"/>
      <c r="K8" s="2"/>
    </row>
    <row r="9" spans="1:11" x14ac:dyDescent="0.2">
      <c r="A9" s="12" t="s">
        <v>15</v>
      </c>
      <c r="B9" s="19">
        <v>1.315412</v>
      </c>
      <c r="C9" s="19">
        <v>0.141401</v>
      </c>
      <c r="E9" s="20">
        <f>EXP(B9)</f>
        <v>3.7262858988276246</v>
      </c>
      <c r="F9" s="20">
        <f>EXP(B9-1.96*(C9))</f>
        <v>2.8243155159465196</v>
      </c>
      <c r="G9" s="20">
        <f>EXP(B9+1.96*(C9))</f>
        <v>4.9163085786285521</v>
      </c>
    </row>
    <row r="10" spans="1:11" x14ac:dyDescent="0.2">
      <c r="A10" s="12" t="s">
        <v>16</v>
      </c>
      <c r="B10" s="19">
        <v>2.606E-2</v>
      </c>
      <c r="C10" s="19">
        <v>7.4739999999999997E-3</v>
      </c>
      <c r="E10" s="20">
        <f>EXP(B10)</f>
        <v>1.0264025307778011</v>
      </c>
      <c r="F10" s="20">
        <f>EXP(B10-1.96*(C10))</f>
        <v>1.0114763133489855</v>
      </c>
      <c r="G10" s="20">
        <f>EXP(B10+1.96*(C10))</f>
        <v>1.041549012352986</v>
      </c>
    </row>
    <row r="11" spans="1:11" x14ac:dyDescent="0.2">
      <c r="E11" s="21"/>
      <c r="F11" s="21"/>
      <c r="G11" s="21"/>
    </row>
    <row r="12" spans="1:11" x14ac:dyDescent="0.2">
      <c r="E12" s="21"/>
      <c r="F12" s="21"/>
      <c r="G12" s="21"/>
    </row>
    <row r="13" spans="1:11" s="6" customFormat="1" x14ac:dyDescent="0.2">
      <c r="A13" s="6" t="s">
        <v>12</v>
      </c>
      <c r="B13" s="7"/>
      <c r="C13" s="7"/>
      <c r="D13" s="7"/>
      <c r="E13" s="22"/>
      <c r="F13" s="22"/>
      <c r="G13" s="22"/>
      <c r="I13" s="17"/>
      <c r="J13" s="17"/>
      <c r="K13" s="17"/>
    </row>
    <row r="14" spans="1:11" s="1" customFormat="1" ht="34" x14ac:dyDescent="0.2">
      <c r="A14" s="10" t="s">
        <v>2</v>
      </c>
      <c r="B14" s="9" t="s">
        <v>6</v>
      </c>
      <c r="C14" s="9" t="s">
        <v>0</v>
      </c>
      <c r="D14" s="9" t="s">
        <v>7</v>
      </c>
      <c r="E14" s="23" t="s">
        <v>8</v>
      </c>
      <c r="F14" s="23" t="s">
        <v>9</v>
      </c>
      <c r="G14" s="23" t="s">
        <v>10</v>
      </c>
      <c r="I14" s="2"/>
      <c r="J14" s="2"/>
      <c r="K14" s="2"/>
    </row>
    <row r="15" spans="1:11" x14ac:dyDescent="0.2">
      <c r="A15" s="3" t="s">
        <v>1</v>
      </c>
      <c r="B15" s="19">
        <v>0.1315412</v>
      </c>
      <c r="C15" s="19">
        <v>1.4140099999999999E-2</v>
      </c>
      <c r="D15" s="13">
        <v>10</v>
      </c>
      <c r="E15" s="20">
        <f>EXP(D15*B15)</f>
        <v>3.7262858988276246</v>
      </c>
      <c r="F15" s="20">
        <f>EXP(D15*B15-1.96*(D15*C15))</f>
        <v>2.8243155159465196</v>
      </c>
      <c r="G15" s="20">
        <f>EXP(D15*B15+1.96*(D15*C15))</f>
        <v>4.9163085786285521</v>
      </c>
    </row>
    <row r="16" spans="1:11" x14ac:dyDescent="0.2">
      <c r="A16" s="3" t="s">
        <v>11</v>
      </c>
      <c r="B16" s="19">
        <v>2.6059999999999998E-3</v>
      </c>
      <c r="C16" s="19">
        <v>7.4739999999999995E-4</v>
      </c>
      <c r="D16" s="13">
        <v>100</v>
      </c>
      <c r="E16" s="20">
        <f>EXP(D16*B16)</f>
        <v>1.2977084782118833</v>
      </c>
      <c r="F16" s="20">
        <f>EXP(D16*B16-1.96*(D16*C16))</f>
        <v>1.1208749660486133</v>
      </c>
      <c r="G16" s="20">
        <f>EXP(D16*B16+1.96*(D16*C16))</f>
        <v>1.5024399200918219</v>
      </c>
    </row>
    <row r="17" spans="1:11" x14ac:dyDescent="0.2">
      <c r="E17" s="21"/>
      <c r="F17" s="21"/>
      <c r="G17" s="21"/>
    </row>
    <row r="18" spans="1:11" x14ac:dyDescent="0.2">
      <c r="E18" s="21"/>
      <c r="F18" s="21"/>
      <c r="G18" s="21"/>
    </row>
    <row r="19" spans="1:11" s="6" customFormat="1" x14ac:dyDescent="0.2">
      <c r="A19" s="6" t="s">
        <v>13</v>
      </c>
      <c r="B19" s="7"/>
      <c r="C19" s="7"/>
      <c r="D19" s="7"/>
      <c r="E19" s="22"/>
      <c r="F19" s="22"/>
      <c r="G19" s="22"/>
      <c r="I19" s="17"/>
      <c r="J19" s="17"/>
      <c r="K19" s="17"/>
    </row>
    <row r="20" spans="1:11" s="16" customFormat="1" ht="34" x14ac:dyDescent="0.2">
      <c r="A20" s="14"/>
      <c r="B20" s="15"/>
      <c r="C20" s="15"/>
      <c r="D20" s="15"/>
      <c r="E20" s="24" t="s">
        <v>5</v>
      </c>
      <c r="F20" s="24" t="s">
        <v>4</v>
      </c>
      <c r="G20" s="24" t="s">
        <v>3</v>
      </c>
      <c r="H20" s="9" t="s">
        <v>7</v>
      </c>
      <c r="I20" s="11" t="s">
        <v>8</v>
      </c>
      <c r="J20" s="11" t="s">
        <v>9</v>
      </c>
      <c r="K20" s="11" t="s">
        <v>10</v>
      </c>
    </row>
    <row r="21" spans="1:11" x14ac:dyDescent="0.2">
      <c r="A21" s="3" t="s">
        <v>1</v>
      </c>
      <c r="E21" s="25">
        <v>1.1405848988521801</v>
      </c>
      <c r="F21" s="25">
        <v>1.1094080713148575</v>
      </c>
      <c r="G21" s="25">
        <v>1.1726378643953674</v>
      </c>
      <c r="H21" s="13">
        <v>10</v>
      </c>
      <c r="I21" s="20">
        <f>POWER(E21,H21)</f>
        <v>3.7262858988276251</v>
      </c>
      <c r="J21" s="20">
        <f>POWER(F21,H21)</f>
        <v>2.8243155159465214</v>
      </c>
      <c r="K21" s="20">
        <f>POWER(G21,H21)</f>
        <v>4.9163085786285556</v>
      </c>
    </row>
    <row r="22" spans="1:11" x14ac:dyDescent="0.2">
      <c r="A22" s="3" t="s">
        <v>11</v>
      </c>
      <c r="E22" s="25">
        <v>1.002609398569583</v>
      </c>
      <c r="F22" s="25">
        <v>1.0011417472977482</v>
      </c>
      <c r="G22" s="25">
        <v>1.0040792013851541</v>
      </c>
      <c r="H22" s="13">
        <v>100</v>
      </c>
      <c r="I22" s="20">
        <f t="shared" ref="I22" si="0">POWER(E22,H22)</f>
        <v>1.2977084782118939</v>
      </c>
      <c r="J22" s="20">
        <f t="shared" ref="J22" si="1">POWER(F22,H22)</f>
        <v>1.1208749660486232</v>
      </c>
      <c r="K22" s="20">
        <f t="shared" ref="K22" si="2">POWER(G22,H22)</f>
        <v>1.5024399200918264</v>
      </c>
    </row>
    <row r="24" spans="1:11" s="6" customFormat="1" x14ac:dyDescent="0.2">
      <c r="A24" s="6" t="s">
        <v>18</v>
      </c>
      <c r="B24" s="7"/>
      <c r="C24" s="7"/>
      <c r="D24" s="7"/>
      <c r="E24" s="7"/>
      <c r="F24" s="7"/>
      <c r="G24" s="7"/>
      <c r="I24" s="17"/>
      <c r="J24" s="17"/>
      <c r="K24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Ferran Torres</cp:lastModifiedBy>
  <dcterms:created xsi:type="dcterms:W3CDTF">2019-07-17T06:32:41Z</dcterms:created>
  <dcterms:modified xsi:type="dcterms:W3CDTF">2022-05-23T13:20:26Z</dcterms:modified>
</cp:coreProperties>
</file>